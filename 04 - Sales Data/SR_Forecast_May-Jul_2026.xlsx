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orecast Summary" sheetId="1" state="visible" r:id="rId1"/>
    <sheet xmlns:r="http://schemas.openxmlformats.org/officeDocument/2006/relationships" name="2. SKU Forecast" sheetId="2" state="visible" r:id="rId2"/>
    <sheet xmlns:r="http://schemas.openxmlformats.org/officeDocument/2006/relationships" name="3. Dealer Forecast" sheetId="3" state="visible" r:id="rId3"/>
    <sheet xmlns:r="http://schemas.openxmlformats.org/officeDocument/2006/relationships" name="4. Channel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1F4E78"/>
      <sz val="10"/>
    </font>
    <font>
      <b val="1"/>
      <color rgb="00FFFFFF"/>
      <sz val="11"/>
    </font>
    <font>
      <b val="1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0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3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inlineStr">
        <is>
          <t>Saramonic Indonesia — 3-Month Forecast (May–Jul 2026)</t>
        </is>
      </c>
    </row>
    <row r="2">
      <c r="A2" s="2" t="inlineStr">
        <is>
          <t>Generated: 12 May 2026 | Method: Trailing 3-month avg + seasonality + SKU lifecycle adjustment</t>
        </is>
      </c>
    </row>
    <row r="4">
      <c r="A4" s="3" t="inlineStr">
        <is>
          <t>Monthly Revenue — Historical + Forecast (Rp)</t>
        </is>
      </c>
    </row>
    <row r="5">
      <c r="A5" s="4" t="inlineStr">
        <is>
          <t>Period</t>
        </is>
      </c>
      <c r="B5" s="4" t="inlineStr">
        <is>
          <t>Oct-25</t>
        </is>
      </c>
      <c r="C5" s="4" t="inlineStr">
        <is>
          <t>Nov-25</t>
        </is>
      </c>
      <c r="D5" s="4" t="inlineStr">
        <is>
          <t>Dec-25</t>
        </is>
      </c>
      <c r="E5" s="4" t="inlineStr">
        <is>
          <t>Jan-26</t>
        </is>
      </c>
      <c r="F5" s="4" t="inlineStr">
        <is>
          <t>Feb-26</t>
        </is>
      </c>
      <c r="G5" s="4" t="inlineStr">
        <is>
          <t>Mar-26</t>
        </is>
      </c>
      <c r="H5" s="4" t="inlineStr">
        <is>
          <t>Apr-26</t>
        </is>
      </c>
      <c r="I5" s="4" t="inlineStr">
        <is>
          <t>May-26 (partial)</t>
        </is>
      </c>
      <c r="J5" s="4" t="inlineStr">
        <is>
          <t>May-26 (FC)</t>
        </is>
      </c>
      <c r="K5" s="4" t="inlineStr">
        <is>
          <t>Jun-26 (FC)</t>
        </is>
      </c>
      <c r="L5" s="4" t="inlineStr">
        <is>
          <t>Jul-26 (FC)</t>
        </is>
      </c>
      <c r="M5" s="4" t="inlineStr">
        <is>
          <t>FC 3M Total</t>
        </is>
      </c>
    </row>
    <row r="6">
      <c r="A6" s="5" t="inlineStr">
        <is>
          <t>Total Revenue</t>
        </is>
      </c>
      <c r="B6" s="6" t="n">
        <v>277572500</v>
      </c>
      <c r="C6" s="6" t="n">
        <v>1101958500</v>
      </c>
      <c r="D6" s="6" t="n">
        <v>1108572025</v>
      </c>
      <c r="E6" s="6" t="n">
        <v>1088087500</v>
      </c>
      <c r="F6" s="6" t="n">
        <v>339934000</v>
      </c>
      <c r="G6" s="6" t="n">
        <v>1014226710</v>
      </c>
      <c r="H6" s="6" t="n">
        <v>1167689080</v>
      </c>
      <c r="I6" s="6" t="n">
        <v>91783800</v>
      </c>
      <c r="J6" s="7" t="n">
        <v>872766316</v>
      </c>
      <c r="K6" s="7" t="n">
        <v>981862106</v>
      </c>
      <c r="L6" s="7" t="n">
        <v>1090957895</v>
      </c>
      <c r="M6" s="8" t="n">
        <v>2945586317</v>
      </c>
    </row>
    <row r="8">
      <c r="A8" s="3" t="inlineStr">
        <is>
          <t>3-Month Forecast Scenarios</t>
        </is>
      </c>
    </row>
    <row r="9">
      <c r="A9" s="4" t="inlineStr">
        <is>
          <t>Scenario</t>
        </is>
      </c>
      <c r="B9" s="4" t="inlineStr">
        <is>
          <t>May-26</t>
        </is>
      </c>
      <c r="C9" s="4" t="inlineStr">
        <is>
          <t>Jun-26</t>
        </is>
      </c>
      <c r="D9" s="4" t="inlineStr">
        <is>
          <t>Jul-26</t>
        </is>
      </c>
      <c r="E9" s="4" t="inlineStr">
        <is>
          <t>Total 3M</t>
        </is>
      </c>
      <c r="F9" s="4" t="inlineStr">
        <is>
          <t>vs Last 3M Actual</t>
        </is>
      </c>
      <c r="G9" s="4" t="inlineStr">
        <is>
          <t>Notes</t>
        </is>
      </c>
    </row>
    <row r="10">
      <c r="A10" s="5" t="inlineStr">
        <is>
          <t>Conservative</t>
        </is>
      </c>
      <c r="B10" s="6" t="n">
        <v>763670526</v>
      </c>
      <c r="C10" s="6" t="n">
        <v>872766316</v>
      </c>
      <c r="D10" s="6" t="n">
        <v>981862106</v>
      </c>
      <c r="E10" s="9" t="n">
        <v>2618298948</v>
      </c>
      <c r="F10" s="10" t="inlineStr">
        <is>
          <t>+3.8%</t>
        </is>
      </c>
      <c r="G10" s="11" t="inlineStr">
        <is>
          <t>May partial run-rate suggests soft start; assume no recovery to peak</t>
        </is>
      </c>
    </row>
    <row r="11">
      <c r="A11" s="5" t="inlineStr">
        <is>
          <t>Base (recommended)</t>
        </is>
      </c>
      <c r="B11" s="6" t="n">
        <v>872766316</v>
      </c>
      <c r="C11" s="6" t="n">
        <v>981862106</v>
      </c>
      <c r="D11" s="6" t="n">
        <v>1090957895</v>
      </c>
      <c r="E11" s="9" t="n">
        <v>2945586317</v>
      </c>
      <c r="F11" s="10" t="inlineStr">
        <is>
          <t>+16.8%</t>
        </is>
      </c>
      <c r="G11" s="11" t="inlineStr">
        <is>
          <t>Post-Lebaran cooling May, gradual recovery, Q3 normal</t>
        </is>
      </c>
    </row>
    <row r="12">
      <c r="A12" s="5" t="inlineStr">
        <is>
          <t>Optimistic</t>
        </is>
      </c>
      <c r="B12" s="6" t="n">
        <v>981862106</v>
      </c>
      <c r="C12" s="6" t="n">
        <v>1145505790</v>
      </c>
      <c r="D12" s="6" t="n">
        <v>1254601579</v>
      </c>
      <c r="E12" s="9" t="n">
        <v>3381969475</v>
      </c>
      <c r="F12" s="10" t="inlineStr">
        <is>
          <t>+34.1%</t>
        </is>
      </c>
      <c r="G12" s="11" t="inlineStr">
        <is>
          <t>AIR SE traction holds + Witalk9 expands + new dealer activations</t>
        </is>
      </c>
    </row>
    <row r="15">
      <c r="A15" s="3" t="inlineStr">
        <is>
          <t>Key Assumptions &amp; Caveats</t>
        </is>
      </c>
    </row>
    <row r="16">
      <c r="A16" s="12" t="inlineStr">
        <is>
          <t>1. Baseline period: Mar-Apr 2026 (Feb 2026 excluded as anomaly — likely CNY/post-Jan B2B normalization).</t>
        </is>
      </c>
    </row>
    <row r="17">
      <c r="A17" s="12" t="inlineStr">
        <is>
          <t>2. Seasonality applied: May -20% (post-Lebaran cool-down), Jun -10% (recovery), Jul 0% (normal Q3).</t>
        </is>
      </c>
    </row>
    <row r="18">
      <c r="A18" s="12" t="inlineStr">
        <is>
          <t>3. May 2026 partial actual (only Rp 91.8M as of cut-off) signals soft start — Base scenario factors in modest May.</t>
        </is>
      </c>
    </row>
    <row r="19">
      <c r="A19" s="12" t="inlineStr">
        <is>
          <t>4. New launch SKUs (AIR SE-01/02): assume normalization to ~50-60% of launch month after 2 months.</t>
        </is>
      </c>
    </row>
    <row r="20">
      <c r="A20" s="12" t="inlineStr">
        <is>
          <t>5. Dying SKUs (BLINK500 PROX B2R, Q20, K9): forecasted to zero — likely discontinued or cannibalized by AIR series.</t>
        </is>
      </c>
    </row>
    <row r="21">
      <c r="A21" s="12" t="inlineStr">
        <is>
          <t>6. Forecast covers SELL-IN to dealers (Saramonic → dealer). Sell-out to consumer may differ — see Claim/Credit Note files.</t>
        </is>
      </c>
    </row>
    <row r="22">
      <c r="A22" s="12" t="inlineStr">
        <is>
          <t>7. Dealer-level forecast assumes status quo on partnerships. New dealer acquisition not modeled.</t>
        </is>
      </c>
    </row>
    <row r="23">
      <c r="A23" s="12" t="inlineStr">
        <is>
          <t>8. Data quality note: 'Sales by SKU (QTY)' file currently contains Value data (duplicate of Value file). Forecast SKU is by VALUE (Rp), not unit qty.</t>
        </is>
      </c>
    </row>
  </sheetData>
  <mergeCells count="10">
    <mergeCell ref="A20:L20"/>
    <mergeCell ref="A2:L2"/>
    <mergeCell ref="A16:L16"/>
    <mergeCell ref="A19:L19"/>
    <mergeCell ref="A1:L1"/>
    <mergeCell ref="A23:L23"/>
    <mergeCell ref="A22:L22"/>
    <mergeCell ref="A17:L17"/>
    <mergeCell ref="A18:L18"/>
    <mergeCell ref="A21:L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Saramonic — Top SKU 3-Month Forecast (May–Jul 2026)</t>
        </is>
      </c>
    </row>
    <row r="2">
      <c r="A2" s="2" t="inlineStr">
        <is>
          <t>Sorted by 7-month historical revenue. Lifecycle adjustment applied per SKU.</t>
        </is>
      </c>
    </row>
    <row r="4">
      <c r="A4" s="4" t="inlineStr">
        <is>
          <t>SKU</t>
        </is>
      </c>
      <c r="B4" s="4" t="inlineStr">
        <is>
          <t>Type</t>
        </is>
      </c>
      <c r="C4" s="4" t="inlineStr">
        <is>
          <t>Oct-25</t>
        </is>
      </c>
      <c r="D4" s="4" t="inlineStr">
        <is>
          <t>Nov-25</t>
        </is>
      </c>
      <c r="E4" s="4" t="inlineStr">
        <is>
          <t>Dec-25</t>
        </is>
      </c>
      <c r="F4" s="4" t="inlineStr">
        <is>
          <t>Jan-26</t>
        </is>
      </c>
      <c r="G4" s="4" t="inlineStr">
        <is>
          <t>Feb-26</t>
        </is>
      </c>
      <c r="H4" s="4" t="inlineStr">
        <is>
          <t>Mar-26</t>
        </is>
      </c>
      <c r="I4" s="4" t="inlineStr">
        <is>
          <t>Apr-26</t>
        </is>
      </c>
      <c r="J4" s="4" t="inlineStr">
        <is>
          <t>May-26 FC</t>
        </is>
      </c>
      <c r="K4" s="4" t="inlineStr">
        <is>
          <t>Jun-26 FC</t>
        </is>
      </c>
      <c r="L4" s="4" t="inlineStr">
        <is>
          <t>Jul-26 FC</t>
        </is>
      </c>
      <c r="M4" s="4" t="inlineStr">
        <is>
          <t>3M FC Total</t>
        </is>
      </c>
      <c r="N4" s="4" t="inlineStr">
        <is>
          <t>Trend</t>
        </is>
      </c>
    </row>
    <row r="5">
      <c r="A5" s="5" t="inlineStr">
        <is>
          <t>AIR - 01</t>
        </is>
      </c>
      <c r="B5" s="13" t="inlineStr">
        <is>
          <t>2.4 GHz Wireless</t>
        </is>
      </c>
      <c r="C5" s="6" t="n">
        <v>33421000</v>
      </c>
      <c r="D5" s="6" t="n">
        <v>229948000</v>
      </c>
      <c r="E5" s="6" t="n">
        <v>289805000</v>
      </c>
      <c r="F5" s="6" t="n">
        <v>259457000</v>
      </c>
      <c r="G5" s="6" t="n">
        <v>105015000</v>
      </c>
      <c r="H5" s="6" t="n">
        <v>134673000</v>
      </c>
      <c r="I5" s="6" t="n">
        <v>454958200</v>
      </c>
      <c r="J5" s="7" t="n">
        <v>250593260</v>
      </c>
      <c r="K5" s="7" t="n">
        <v>294815600</v>
      </c>
      <c r="L5" s="7" t="n">
        <v>324297160</v>
      </c>
      <c r="M5" s="8" t="n">
        <v>869706020</v>
      </c>
      <c r="N5" s="14" t="inlineStr">
        <is>
          <t>↑ Growing</t>
        </is>
      </c>
    </row>
    <row r="6">
      <c r="A6" s="5" t="inlineStr">
        <is>
          <t>AIR - 02</t>
        </is>
      </c>
      <c r="B6" s="13" t="inlineStr">
        <is>
          <t>2.4 GHz Wireless</t>
        </is>
      </c>
      <c r="C6" s="6" t="n"/>
      <c r="D6" s="6" t="n">
        <v>41800000</v>
      </c>
      <c r="E6" s="6" t="n">
        <v>124072000</v>
      </c>
      <c r="F6" s="6" t="n">
        <v>149600000</v>
      </c>
      <c r="G6" s="6" t="n">
        <v>28600000</v>
      </c>
      <c r="H6" s="6" t="n">
        <v>65924150</v>
      </c>
      <c r="I6" s="6" t="n">
        <v>98598400</v>
      </c>
      <c r="J6" s="7" t="n">
        <v>69922084</v>
      </c>
      <c r="K6" s="7" t="n">
        <v>82261275</v>
      </c>
      <c r="L6" s="7" t="n">
        <v>90487402</v>
      </c>
      <c r="M6" s="8" t="n">
        <v>242670761</v>
      </c>
      <c r="N6" s="14" t="inlineStr">
        <is>
          <t>↑ Growing</t>
        </is>
      </c>
    </row>
    <row r="7">
      <c r="A7" s="5" t="inlineStr">
        <is>
          <t>BLINK500 T4</t>
        </is>
      </c>
      <c r="B7" s="13" t="inlineStr">
        <is>
          <t>2.4 GHz Wireless</t>
        </is>
      </c>
      <c r="C7" s="6" t="n">
        <v>24360000</v>
      </c>
      <c r="D7" s="6" t="n">
        <v>79350000</v>
      </c>
      <c r="E7" s="6" t="n">
        <v>139200000</v>
      </c>
      <c r="F7" s="6" t="n">
        <v>125280000</v>
      </c>
      <c r="G7" s="6" t="n">
        <v>27840000</v>
      </c>
      <c r="H7" s="6" t="n">
        <v>28359000</v>
      </c>
      <c r="I7" s="6" t="n">
        <v>10440000</v>
      </c>
      <c r="J7" s="7" t="n">
        <v>18881050</v>
      </c>
      <c r="K7" s="7" t="n">
        <v>22213000</v>
      </c>
      <c r="L7" s="7" t="n">
        <v>23990040</v>
      </c>
      <c r="M7" s="8" t="n">
        <v>65084090</v>
      </c>
      <c r="N7" s="10" t="inlineStr">
        <is>
          <t>→ Stable</t>
        </is>
      </c>
    </row>
    <row r="8">
      <c r="A8" s="5" t="inlineStr">
        <is>
          <t>WITALK9 WT9S</t>
        </is>
      </c>
      <c r="B8" s="13" t="inlineStr">
        <is>
          <t>Intercom</t>
        </is>
      </c>
      <c r="C8" s="6" t="n"/>
      <c r="D8" s="6" t="n">
        <v>40380000</v>
      </c>
      <c r="E8" s="6" t="n">
        <v>20190000</v>
      </c>
      <c r="F8" s="6" t="n">
        <v>24600000</v>
      </c>
      <c r="G8" s="6" t="n">
        <v>40380000</v>
      </c>
      <c r="H8" s="6" t="n">
        <v>123345000</v>
      </c>
      <c r="I8" s="6" t="n">
        <v>100950000</v>
      </c>
      <c r="J8" s="7" t="n">
        <v>74991250</v>
      </c>
      <c r="K8" s="7" t="n">
        <v>88225000</v>
      </c>
      <c r="L8" s="7" t="n">
        <v>95283000</v>
      </c>
      <c r="M8" s="8" t="n">
        <v>258499250</v>
      </c>
      <c r="N8" s="10" t="inlineStr">
        <is>
          <t>→ Stable</t>
        </is>
      </c>
    </row>
    <row r="9">
      <c r="A9" s="5" t="inlineStr">
        <is>
          <t>AIR SE - 01</t>
        </is>
      </c>
      <c r="B9" s="13" t="inlineStr">
        <is>
          <t>2.4 GHz Wireless</t>
        </is>
      </c>
      <c r="C9" s="6" t="n"/>
      <c r="D9" s="6" t="n"/>
      <c r="E9" s="6" t="n"/>
      <c r="F9" s="6" t="n"/>
      <c r="G9" s="6" t="n"/>
      <c r="H9" s="6" t="n">
        <v>239475600</v>
      </c>
      <c r="I9" s="6" t="n">
        <v>101431200</v>
      </c>
      <c r="J9" s="7" t="n">
        <v>50715600</v>
      </c>
      <c r="K9" s="7" t="n">
        <v>55787160</v>
      </c>
      <c r="L9" s="7" t="n">
        <v>65930280</v>
      </c>
      <c r="M9" s="8" t="n">
        <v>172433040</v>
      </c>
      <c r="N9" s="15" t="inlineStr">
        <is>
          <t>↓ Declining</t>
        </is>
      </c>
    </row>
    <row r="10">
      <c r="A10" s="5" t="inlineStr">
        <is>
          <t>BLINK500 PROX B2R</t>
        </is>
      </c>
      <c r="B10" s="13" t="inlineStr">
        <is>
          <t>2.4 GHz Wireless</t>
        </is>
      </c>
      <c r="C10" s="6" t="n">
        <v>68250000</v>
      </c>
      <c r="D10" s="6" t="n">
        <v>130000000</v>
      </c>
      <c r="E10" s="6" t="n">
        <v>52000000</v>
      </c>
      <c r="F10" s="6" t="n">
        <v>52000000</v>
      </c>
      <c r="G10" s="6" t="n">
        <v>19500000</v>
      </c>
      <c r="H10" s="6" t="n">
        <v>9750000</v>
      </c>
      <c r="I10" s="6" t="n"/>
      <c r="J10" s="7" t="n">
        <v>0</v>
      </c>
      <c r="K10" s="7" t="n">
        <v>0</v>
      </c>
      <c r="L10" s="7" t="n">
        <v>0</v>
      </c>
      <c r="M10" s="8" t="n">
        <v>0</v>
      </c>
      <c r="N10" s="15" t="inlineStr">
        <is>
          <t>↓ Declining</t>
        </is>
      </c>
    </row>
    <row r="11">
      <c r="A11" s="5" t="inlineStr">
        <is>
          <t>BLINK500 B4 NV</t>
        </is>
      </c>
      <c r="B11" s="13" t="inlineStr">
        <is>
          <t>2.4 GHz Wireless</t>
        </is>
      </c>
      <c r="C11" s="6" t="n">
        <v>5310000</v>
      </c>
      <c r="D11" s="6" t="n">
        <v>43770000</v>
      </c>
      <c r="E11" s="6" t="n">
        <v>109620000</v>
      </c>
      <c r="F11" s="6" t="n">
        <v>31860000</v>
      </c>
      <c r="G11" s="6" t="n">
        <v>23010000</v>
      </c>
      <c r="H11" s="6" t="n">
        <v>26550000</v>
      </c>
      <c r="I11" s="6" t="n">
        <v>78750000</v>
      </c>
      <c r="J11" s="7" t="n">
        <v>44752500</v>
      </c>
      <c r="K11" s="7" t="n">
        <v>52650000</v>
      </c>
      <c r="L11" s="7" t="n">
        <v>57915000</v>
      </c>
      <c r="M11" s="8" t="n">
        <v>155317500</v>
      </c>
      <c r="N11" s="14" t="inlineStr">
        <is>
          <t>↑ Growing</t>
        </is>
      </c>
    </row>
    <row r="12">
      <c r="A12" s="5" t="inlineStr">
        <is>
          <t>AIR SE - 02</t>
        </is>
      </c>
      <c r="B12" s="13" t="inlineStr">
        <is>
          <t>2.4 GHz Wireless</t>
        </is>
      </c>
      <c r="C12" s="6" t="n"/>
      <c r="D12" s="6" t="n"/>
      <c r="E12" s="6" t="n"/>
      <c r="F12" s="6" t="n"/>
      <c r="G12" s="6" t="n"/>
      <c r="H12" s="6" t="n">
        <v>176982960</v>
      </c>
      <c r="I12" s="6" t="n">
        <v>59082240</v>
      </c>
      <c r="J12" s="7" t="n">
        <v>29541120</v>
      </c>
      <c r="K12" s="7" t="n">
        <v>32495232</v>
      </c>
      <c r="L12" s="7" t="n">
        <v>38403456</v>
      </c>
      <c r="M12" s="8" t="n">
        <v>100439808</v>
      </c>
      <c r="N12" s="15" t="inlineStr">
        <is>
          <t>↓ Declining</t>
        </is>
      </c>
    </row>
    <row r="13">
      <c r="A13" s="5" t="inlineStr">
        <is>
          <t>WITALK9 WT8S</t>
        </is>
      </c>
      <c r="B13" s="13" t="inlineStr">
        <is>
          <t>Intercom</t>
        </is>
      </c>
      <c r="C13" s="6" t="n">
        <v>19175000</v>
      </c>
      <c r="D13" s="6" t="n">
        <v>95875000</v>
      </c>
      <c r="E13" s="6" t="n"/>
      <c r="F13" s="6" t="n">
        <v>57525000</v>
      </c>
      <c r="G13" s="6" t="n"/>
      <c r="H13" s="6" t="n">
        <v>19175000</v>
      </c>
      <c r="I13" s="6" t="n"/>
      <c r="J13" s="7" t="n">
        <v>5432917</v>
      </c>
      <c r="K13" s="7" t="n">
        <v>6391667</v>
      </c>
      <c r="L13" s="7" t="n">
        <v>6903000</v>
      </c>
      <c r="M13" s="8" t="n">
        <v>18727584</v>
      </c>
      <c r="N13" s="10" t="inlineStr">
        <is>
          <t>→ Stable</t>
        </is>
      </c>
    </row>
    <row r="14">
      <c r="A14" s="5" t="inlineStr">
        <is>
          <t>WITALK9 WT5S</t>
        </is>
      </c>
      <c r="B14" s="13" t="inlineStr">
        <is>
          <t>Intercom</t>
        </is>
      </c>
      <c r="C14" s="6" t="n"/>
      <c r="D14" s="6" t="n">
        <v>13170000</v>
      </c>
      <c r="E14" s="6" t="n">
        <v>52680000</v>
      </c>
      <c r="F14" s="6" t="n">
        <v>13170000</v>
      </c>
      <c r="G14" s="6" t="n">
        <v>26340000</v>
      </c>
      <c r="H14" s="6" t="n"/>
      <c r="I14" s="6" t="n">
        <v>85180000</v>
      </c>
      <c r="J14" s="7" t="n">
        <v>31597333</v>
      </c>
      <c r="K14" s="7" t="n">
        <v>37173333</v>
      </c>
      <c r="L14" s="7" t="n">
        <v>40147200</v>
      </c>
      <c r="M14" s="8" t="n">
        <v>108917866</v>
      </c>
      <c r="N14" s="10" t="inlineStr">
        <is>
          <t>→ Stable</t>
        </is>
      </c>
    </row>
    <row r="15">
      <c r="A15" s="5" t="inlineStr">
        <is>
          <t>WITALK9 WT7S</t>
        </is>
      </c>
      <c r="B15" s="13" t="inlineStr">
        <is>
          <t>Intercom</t>
        </is>
      </c>
      <c r="C15" s="6" t="n"/>
      <c r="D15" s="6" t="n">
        <v>17254000</v>
      </c>
      <c r="E15" s="6" t="n">
        <v>17254000</v>
      </c>
      <c r="F15" s="6" t="n">
        <v>57852000</v>
      </c>
      <c r="G15" s="6" t="n">
        <v>17254000</v>
      </c>
      <c r="H15" s="6" t="n"/>
      <c r="I15" s="6" t="n">
        <v>34508000</v>
      </c>
      <c r="J15" s="7" t="n">
        <v>14665900</v>
      </c>
      <c r="K15" s="7" t="n">
        <v>17254000</v>
      </c>
      <c r="L15" s="7" t="n">
        <v>18634320</v>
      </c>
      <c r="M15" s="8" t="n">
        <v>50554220</v>
      </c>
      <c r="N15" s="10" t="inlineStr">
        <is>
          <t>→ Stable</t>
        </is>
      </c>
    </row>
    <row r="16">
      <c r="A16" s="5" t="inlineStr">
        <is>
          <t>BLINK500 PROX Q20</t>
        </is>
      </c>
      <c r="B16" s="13" t="inlineStr">
        <is>
          <t>2.4 GHz Wireless</t>
        </is>
      </c>
      <c r="C16" s="6" t="n">
        <v>75060000</v>
      </c>
      <c r="D16" s="6" t="n">
        <v>55600000</v>
      </c>
      <c r="E16" s="6" t="n">
        <v>1759000</v>
      </c>
      <c r="F16" s="6" t="n"/>
      <c r="G16" s="6" t="n"/>
      <c r="H16" s="6" t="n"/>
      <c r="I16" s="6" t="n"/>
      <c r="J16" s="7" t="n">
        <v>0</v>
      </c>
      <c r="K16" s="7" t="n">
        <v>0</v>
      </c>
      <c r="L16" s="7" t="n">
        <v>0</v>
      </c>
      <c r="M16" s="8" t="n">
        <v>0</v>
      </c>
      <c r="N16" s="15" t="inlineStr">
        <is>
          <t>Dormant</t>
        </is>
      </c>
    </row>
    <row r="17">
      <c r="A17" s="5" t="inlineStr">
        <is>
          <t>ULTRA - 03</t>
        </is>
      </c>
      <c r="B17" s="13" t="inlineStr">
        <is>
          <t>2.4 GHz Wireless</t>
        </is>
      </c>
      <c r="C17" s="6" t="n"/>
      <c r="D17" s="6" t="n">
        <v>14560000</v>
      </c>
      <c r="E17" s="6" t="n">
        <v>36400000</v>
      </c>
      <c r="F17" s="6" t="n">
        <v>54600000</v>
      </c>
      <c r="G17" s="6" t="n"/>
      <c r="H17" s="6" t="n">
        <v>10920000</v>
      </c>
      <c r="I17" s="6" t="n">
        <v>3640000</v>
      </c>
      <c r="J17" s="7" t="n">
        <v>4125333</v>
      </c>
      <c r="K17" s="7" t="n">
        <v>4853333</v>
      </c>
      <c r="L17" s="7" t="n">
        <v>5241600</v>
      </c>
      <c r="M17" s="8" t="n">
        <v>14220266</v>
      </c>
      <c r="N17" s="10" t="inlineStr">
        <is>
          <t>→ Stable</t>
        </is>
      </c>
    </row>
    <row r="18">
      <c r="A18" s="5" t="inlineStr">
        <is>
          <t>WITALK9-SE 5S</t>
        </is>
      </c>
      <c r="B18" s="13" t="inlineStr">
        <is>
          <t>Intercom</t>
        </is>
      </c>
      <c r="C18" s="6" t="n"/>
      <c r="D18" s="6" t="n">
        <v>6160000</v>
      </c>
      <c r="E18" s="6" t="n"/>
      <c r="F18" s="6" t="n">
        <v>43120000</v>
      </c>
      <c r="G18" s="6" t="n"/>
      <c r="H18" s="6" t="n">
        <v>43120000</v>
      </c>
      <c r="I18" s="6" t="n">
        <v>18480000</v>
      </c>
      <c r="J18" s="7" t="n">
        <v>17453333</v>
      </c>
      <c r="K18" s="7" t="n">
        <v>20533333</v>
      </c>
      <c r="L18" s="7" t="n">
        <v>22176000</v>
      </c>
      <c r="M18" s="8" t="n">
        <v>60162666</v>
      </c>
      <c r="N18" s="10" t="inlineStr">
        <is>
          <t>→ Stable</t>
        </is>
      </c>
    </row>
    <row r="19">
      <c r="A19" s="5" t="inlineStr">
        <is>
          <t>ULTRA - 01</t>
        </is>
      </c>
      <c r="B19" s="13" t="inlineStr">
        <is>
          <t>2.4 GHz Wireless</t>
        </is>
      </c>
      <c r="C19" s="6" t="n"/>
      <c r="D19" s="6" t="n">
        <v>6384000</v>
      </c>
      <c r="E19" s="6" t="n">
        <v>25536000</v>
      </c>
      <c r="F19" s="6" t="n">
        <v>47880000</v>
      </c>
      <c r="G19" s="6" t="n">
        <v>12768000</v>
      </c>
      <c r="H19" s="6" t="n">
        <v>6384000</v>
      </c>
      <c r="I19" s="6" t="n"/>
      <c r="J19" s="7" t="n">
        <v>5426400</v>
      </c>
      <c r="K19" s="7" t="n">
        <v>6384000</v>
      </c>
      <c r="L19" s="7" t="n">
        <v>6894720</v>
      </c>
      <c r="M19" s="8" t="n">
        <v>18705120</v>
      </c>
      <c r="N19" s="10" t="inlineStr">
        <is>
          <t>→ Stable</t>
        </is>
      </c>
    </row>
    <row r="20">
      <c r="A20" s="5" t="inlineStr">
        <is>
          <t>WITALK WT6S</t>
        </is>
      </c>
      <c r="B20" s="13" t="inlineStr">
        <is>
          <t>Intercom</t>
        </is>
      </c>
      <c r="C20" s="6" t="n"/>
      <c r="D20" s="6" t="n">
        <v>11305000</v>
      </c>
      <c r="E20" s="6" t="n">
        <v>33915000</v>
      </c>
      <c r="F20" s="6" t="n"/>
      <c r="G20" s="6" t="n"/>
      <c r="H20" s="6" t="n">
        <v>22610000</v>
      </c>
      <c r="I20" s="6" t="n"/>
      <c r="J20" s="7" t="n">
        <v>6406167</v>
      </c>
      <c r="K20" s="7" t="n">
        <v>7536667</v>
      </c>
      <c r="L20" s="7" t="n">
        <v>8139600</v>
      </c>
      <c r="M20" s="8" t="n">
        <v>22082434</v>
      </c>
      <c r="N20" s="10" t="inlineStr">
        <is>
          <t>→ Stable</t>
        </is>
      </c>
    </row>
    <row r="21">
      <c r="A21" s="5" t="inlineStr">
        <is>
          <t>WITALK WT9S</t>
        </is>
      </c>
      <c r="B21" s="13" t="inlineStr">
        <is>
          <t>Intercom</t>
        </is>
      </c>
      <c r="C21" s="6" t="n"/>
      <c r="D21" s="6" t="n"/>
      <c r="E21" s="6" t="n">
        <v>67660000</v>
      </c>
      <c r="F21" s="6" t="n"/>
      <c r="G21" s="6" t="n"/>
      <c r="H21" s="6" t="n"/>
      <c r="I21" s="6" t="n"/>
      <c r="J21" s="7" t="n">
        <v>0</v>
      </c>
      <c r="K21" s="7" t="n">
        <v>0</v>
      </c>
      <c r="L21" s="7" t="n">
        <v>0</v>
      </c>
      <c r="M21" s="8" t="n">
        <v>0</v>
      </c>
      <c r="N21" s="15" t="inlineStr">
        <is>
          <t>Dormant</t>
        </is>
      </c>
    </row>
    <row r="22">
      <c r="A22" s="5" t="inlineStr">
        <is>
          <t>VMIC5</t>
        </is>
      </c>
      <c r="B22" s="13" t="inlineStr">
        <is>
          <t>Shotgun</t>
        </is>
      </c>
      <c r="C22" s="6" t="n"/>
      <c r="D22" s="6" t="n"/>
      <c r="E22" s="6" t="n">
        <v>2600000</v>
      </c>
      <c r="F22" s="6" t="n"/>
      <c r="G22" s="6" t="n"/>
      <c r="H22" s="6" t="n">
        <v>2600000</v>
      </c>
      <c r="I22" s="6" t="n">
        <v>41600000</v>
      </c>
      <c r="J22" s="7" t="n">
        <v>18785000</v>
      </c>
      <c r="K22" s="7" t="n">
        <v>22100000</v>
      </c>
      <c r="L22" s="7" t="n">
        <v>24310000</v>
      </c>
      <c r="M22" s="8" t="n">
        <v>65195000</v>
      </c>
      <c r="N22" s="14" t="inlineStr">
        <is>
          <t>↑ Growing</t>
        </is>
      </c>
    </row>
    <row r="23">
      <c r="A23" s="5" t="inlineStr">
        <is>
          <t>WITALK9 WT6S</t>
        </is>
      </c>
      <c r="B23" s="13" t="inlineStr">
        <is>
          <t>Intercom</t>
        </is>
      </c>
      <c r="C23" s="6" t="n"/>
      <c r="D23" s="6" t="n"/>
      <c r="E23" s="6" t="n"/>
      <c r="F23" s="6" t="n">
        <v>15385000</v>
      </c>
      <c r="G23" s="6" t="n"/>
      <c r="H23" s="6" t="n">
        <v>15385000</v>
      </c>
      <c r="I23" s="6" t="n">
        <v>15385000</v>
      </c>
      <c r="J23" s="7" t="n">
        <v>8718167</v>
      </c>
      <c r="K23" s="7" t="n">
        <v>10256667</v>
      </c>
      <c r="L23" s="7" t="n">
        <v>11077200</v>
      </c>
      <c r="M23" s="8" t="n">
        <v>30052034</v>
      </c>
      <c r="N23" s="10" t="inlineStr">
        <is>
          <t>→ Stable</t>
        </is>
      </c>
    </row>
    <row r="24">
      <c r="A24" s="5" t="inlineStr">
        <is>
          <t>AX1</t>
        </is>
      </c>
      <c r="B24" s="13" t="inlineStr">
        <is>
          <t>Accessories</t>
        </is>
      </c>
      <c r="C24" s="6" t="n"/>
      <c r="D24" s="6" t="n">
        <v>18240000</v>
      </c>
      <c r="E24" s="6" t="n">
        <v>1824000</v>
      </c>
      <c r="F24" s="6" t="n">
        <v>6384000</v>
      </c>
      <c r="G24" s="6" t="n">
        <v>3648000</v>
      </c>
      <c r="H24" s="6" t="n">
        <v>6688000</v>
      </c>
      <c r="I24" s="6" t="n">
        <v>6688000</v>
      </c>
      <c r="J24" s="7" t="n">
        <v>4823467</v>
      </c>
      <c r="K24" s="7" t="n">
        <v>5674667</v>
      </c>
      <c r="L24" s="7" t="n">
        <v>6128640</v>
      </c>
      <c r="M24" s="8" t="n">
        <v>16626774</v>
      </c>
      <c r="N24" s="10" t="inlineStr">
        <is>
          <t>→ Stable</t>
        </is>
      </c>
    </row>
    <row r="25">
      <c r="A25" s="5" t="inlineStr">
        <is>
          <t>SR-MV7000</t>
        </is>
      </c>
      <c r="B25" s="13" t="inlineStr">
        <is>
          <t>Podcast</t>
        </is>
      </c>
      <c r="C25" s="6" t="n"/>
      <c r="D25" s="6" t="n"/>
      <c r="E25" s="6" t="n">
        <v>17800000</v>
      </c>
      <c r="F25" s="6" t="n"/>
      <c r="G25" s="6" t="n">
        <v>4450000</v>
      </c>
      <c r="H25" s="6" t="n"/>
      <c r="I25" s="6" t="n"/>
      <c r="J25" s="7" t="n">
        <v>0</v>
      </c>
      <c r="K25" s="7" t="n">
        <v>0</v>
      </c>
      <c r="L25" s="7" t="n">
        <v>0</v>
      </c>
      <c r="M25" s="8" t="n">
        <v>0</v>
      </c>
      <c r="N25" s="15" t="inlineStr">
        <is>
          <t>↓ Declining</t>
        </is>
      </c>
    </row>
    <row r="26">
      <c r="A26" s="16" t="inlineStr">
        <is>
          <t>TOTAL (Top SKUs)</t>
        </is>
      </c>
      <c r="C26" s="17">
        <f>SUM(C5:C25)</f>
        <v/>
      </c>
      <c r="D26" s="17">
        <f>SUM(D5:D25)</f>
        <v/>
      </c>
      <c r="E26" s="17">
        <f>SUM(E5:E25)</f>
        <v/>
      </c>
      <c r="F26" s="17">
        <f>SUM(F5:F25)</f>
        <v/>
      </c>
      <c r="G26" s="17">
        <f>SUM(G5:G25)</f>
        <v/>
      </c>
      <c r="H26" s="17">
        <f>SUM(H5:H25)</f>
        <v/>
      </c>
      <c r="I26" s="17">
        <f>SUM(I5:I25)</f>
        <v/>
      </c>
      <c r="J26" s="17">
        <f>SUM(J5:J25)</f>
        <v/>
      </c>
      <c r="K26" s="17">
        <f>SUM(K5:K25)</f>
        <v/>
      </c>
      <c r="L26" s="17">
        <f>SUM(L5:L25)</f>
        <v/>
      </c>
      <c r="M26" s="17">
        <f>SUM(M5:M25)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Saramonic — Top Dealer 3-Month Forecast (May–Jul 2026)</t>
        </is>
      </c>
    </row>
    <row r="2">
      <c r="A2" s="2" t="inlineStr">
        <is>
          <t>Sorted by 7-month historical revenue. Assumes status quo on partnerships.</t>
        </is>
      </c>
    </row>
    <row r="4">
      <c r="A4" s="4" t="inlineStr">
        <is>
          <t>Dealer</t>
        </is>
      </c>
      <c r="B4" s="4" t="inlineStr">
        <is>
          <t>Location</t>
        </is>
      </c>
      <c r="C4" s="4" t="inlineStr">
        <is>
          <t>Oct-25</t>
        </is>
      </c>
      <c r="D4" s="4" t="inlineStr">
        <is>
          <t>Nov-25</t>
        </is>
      </c>
      <c r="E4" s="4" t="inlineStr">
        <is>
          <t>Dec-25</t>
        </is>
      </c>
      <c r="F4" s="4" t="inlineStr">
        <is>
          <t>Jan-26</t>
        </is>
      </c>
      <c r="G4" s="4" t="inlineStr">
        <is>
          <t>Feb-26</t>
        </is>
      </c>
      <c r="H4" s="4" t="inlineStr">
        <is>
          <t>Mar-26</t>
        </is>
      </c>
      <c r="I4" s="4" t="inlineStr">
        <is>
          <t>Apr-26</t>
        </is>
      </c>
      <c r="J4" s="4" t="inlineStr">
        <is>
          <t>May-26 FC</t>
        </is>
      </c>
      <c r="K4" s="4" t="inlineStr">
        <is>
          <t>Jun-26 FC</t>
        </is>
      </c>
      <c r="L4" s="4" t="inlineStr">
        <is>
          <t>Jul-26 FC</t>
        </is>
      </c>
      <c r="M4" s="4" t="inlineStr">
        <is>
          <t>3M FC Total</t>
        </is>
      </c>
      <c r="N4" s="4" t="inlineStr">
        <is>
          <t>Status</t>
        </is>
      </c>
    </row>
    <row r="5">
      <c r="A5" s="5" t="inlineStr">
        <is>
          <t>JPC Kemang</t>
        </is>
      </c>
      <c r="B5" s="13" t="inlineStr">
        <is>
          <t>Jabodetabek</t>
        </is>
      </c>
      <c r="C5" s="6" t="n">
        <v>37912500</v>
      </c>
      <c r="D5" s="6" t="n">
        <v>182130000</v>
      </c>
      <c r="E5" s="6" t="n">
        <v>261188025</v>
      </c>
      <c r="F5" s="6" t="n">
        <v>117011000</v>
      </c>
      <c r="G5" s="6" t="n">
        <v>30235000</v>
      </c>
      <c r="H5" s="6" t="n">
        <v>189500760</v>
      </c>
      <c r="I5" s="6" t="n">
        <v>273433440</v>
      </c>
      <c r="J5" s="7" t="n">
        <v>232418424</v>
      </c>
      <c r="K5" s="7" t="n">
        <v>259761768</v>
      </c>
      <c r="L5" s="7" t="n">
        <v>287105112</v>
      </c>
      <c r="M5" s="8" t="n">
        <v>779285304</v>
      </c>
      <c r="N5" s="10" t="inlineStr">
        <is>
          <t>🟢 Growing</t>
        </is>
      </c>
    </row>
    <row r="6">
      <c r="A6" s="5" t="inlineStr">
        <is>
          <t>DG Pro / Jakarta Fotografi Shop</t>
        </is>
      </c>
      <c r="B6" s="13" t="inlineStr">
        <is>
          <t>Jabodetabek</t>
        </is>
      </c>
      <c r="C6" s="6" t="n">
        <v>15792000</v>
      </c>
      <c r="D6" s="6" t="n">
        <v>118363000</v>
      </c>
      <c r="E6" s="6" t="n">
        <v>302808000</v>
      </c>
      <c r="F6" s="6" t="n">
        <v>122591000</v>
      </c>
      <c r="G6" s="6" t="n">
        <v>66612000</v>
      </c>
      <c r="H6" s="6" t="n">
        <v>130404400</v>
      </c>
      <c r="I6" s="6" t="n">
        <v>205323000</v>
      </c>
      <c r="J6" s="7" t="n">
        <v>174524550</v>
      </c>
      <c r="K6" s="7" t="n">
        <v>195056850</v>
      </c>
      <c r="L6" s="7" t="n">
        <v>215589150</v>
      </c>
      <c r="M6" s="8" t="n">
        <v>585170550</v>
      </c>
      <c r="N6" s="10" t="inlineStr">
        <is>
          <t>🟢 Growing</t>
        </is>
      </c>
    </row>
    <row r="7">
      <c r="A7" s="5" t="inlineStr">
        <is>
          <t>Alphacipta Procurement</t>
        </is>
      </c>
      <c r="B7" s="13" t="inlineStr">
        <is>
          <t>Jabodetabek</t>
        </is>
      </c>
      <c r="C7" s="6" t="n"/>
      <c r="D7" s="6" t="n">
        <v>128576000</v>
      </c>
      <c r="E7" s="6" t="n">
        <v>12168000</v>
      </c>
      <c r="F7" s="6" t="n">
        <v>49484000</v>
      </c>
      <c r="G7" s="6" t="n">
        <v>29508000</v>
      </c>
      <c r="H7" s="6" t="n">
        <v>71166000</v>
      </c>
      <c r="I7" s="6" t="n">
        <v>46340000</v>
      </c>
      <c r="J7" s="7" t="n">
        <v>41653967</v>
      </c>
      <c r="K7" s="7" t="n">
        <v>49004667</v>
      </c>
      <c r="L7" s="7" t="n">
        <v>52925040</v>
      </c>
      <c r="M7" s="8" t="n">
        <v>143583674</v>
      </c>
      <c r="N7" s="10" t="inlineStr">
        <is>
          <t>🔵 Steady</t>
        </is>
      </c>
    </row>
    <row r="8">
      <c r="A8" s="5" t="inlineStr">
        <is>
          <t>Witacom</t>
        </is>
      </c>
      <c r="B8" s="13" t="inlineStr">
        <is>
          <t>Jabodetabek</t>
        </is>
      </c>
      <c r="C8" s="6" t="n"/>
      <c r="D8" s="6" t="n">
        <v>118048000</v>
      </c>
      <c r="E8" s="6" t="n">
        <v>48044000</v>
      </c>
      <c r="F8" s="6" t="n">
        <v>38193000</v>
      </c>
      <c r="G8" s="6" t="n">
        <v>13170000</v>
      </c>
      <c r="H8" s="6" t="n">
        <v>60882440</v>
      </c>
      <c r="I8" s="6" t="n">
        <v>7027000</v>
      </c>
      <c r="J8" s="7" t="n">
        <v>4918900</v>
      </c>
      <c r="K8" s="7" t="n">
        <v>5621600</v>
      </c>
      <c r="L8" s="7" t="n">
        <v>6324300</v>
      </c>
      <c r="M8" s="8" t="n">
        <v>16864800</v>
      </c>
      <c r="N8" s="10" t="inlineStr">
        <is>
          <t>🟠 Slowing</t>
        </is>
      </c>
    </row>
    <row r="9">
      <c r="A9" s="5" t="inlineStr">
        <is>
          <t>Galaxy Camera</t>
        </is>
      </c>
      <c r="B9" s="13" t="inlineStr">
        <is>
          <t>Jabodetabek</t>
        </is>
      </c>
      <c r="C9" s="6" t="n">
        <v>10200000</v>
      </c>
      <c r="D9" s="6" t="n">
        <v>50787500</v>
      </c>
      <c r="E9" s="6" t="n">
        <v>35211000</v>
      </c>
      <c r="F9" s="6" t="n">
        <v>19320000</v>
      </c>
      <c r="G9" s="6" t="n">
        <v>24300000</v>
      </c>
      <c r="H9" s="6" t="n">
        <v>33347600</v>
      </c>
      <c r="I9" s="6" t="n">
        <v>64062000</v>
      </c>
      <c r="J9" s="7" t="n">
        <v>54452700</v>
      </c>
      <c r="K9" s="7" t="n">
        <v>60858900</v>
      </c>
      <c r="L9" s="7" t="n">
        <v>67265100</v>
      </c>
      <c r="M9" s="8" t="n">
        <v>182576700</v>
      </c>
      <c r="N9" s="10" t="inlineStr">
        <is>
          <t>🟢 Growing</t>
        </is>
      </c>
    </row>
    <row r="10">
      <c r="A10" s="5" t="inlineStr">
        <is>
          <t>Gwan Store</t>
        </is>
      </c>
      <c r="B10" s="13" t="inlineStr">
        <is>
          <t>Surabaya</t>
        </is>
      </c>
      <c r="C10" s="6" t="n">
        <v>8720000</v>
      </c>
      <c r="D10" s="6" t="n">
        <v>10140000</v>
      </c>
      <c r="E10" s="6" t="n">
        <v>54185000</v>
      </c>
      <c r="F10" s="6" t="n">
        <v>27340000</v>
      </c>
      <c r="G10" s="6" t="n"/>
      <c r="H10" s="6" t="n">
        <v>33969200</v>
      </c>
      <c r="I10" s="6" t="n">
        <v>94658000</v>
      </c>
      <c r="J10" s="7" t="n">
        <v>80459300</v>
      </c>
      <c r="K10" s="7" t="n">
        <v>89925100</v>
      </c>
      <c r="L10" s="7" t="n">
        <v>99390900</v>
      </c>
      <c r="M10" s="8" t="n">
        <v>269775300</v>
      </c>
      <c r="N10" s="10" t="inlineStr">
        <is>
          <t>🟢 Growing</t>
        </is>
      </c>
    </row>
    <row r="11">
      <c r="A11" s="5" t="inlineStr">
        <is>
          <t>BKP - Bursa Kamera Professional</t>
        </is>
      </c>
      <c r="B11" s="13" t="inlineStr">
        <is>
          <t>Jabodetabek</t>
        </is>
      </c>
      <c r="C11" s="6" t="n">
        <v>99020000</v>
      </c>
      <c r="D11" s="6" t="n">
        <v>33940000</v>
      </c>
      <c r="E11" s="6" t="n">
        <v>49220000</v>
      </c>
      <c r="F11" s="6" t="n">
        <v>13000000</v>
      </c>
      <c r="G11" s="6" t="n"/>
      <c r="H11" s="6" t="n">
        <v>19642500</v>
      </c>
      <c r="I11" s="6" t="n">
        <v>12335000</v>
      </c>
      <c r="J11" s="7" t="n">
        <v>9060292</v>
      </c>
      <c r="K11" s="7" t="n">
        <v>10659167</v>
      </c>
      <c r="L11" s="7" t="n">
        <v>11511900</v>
      </c>
      <c r="M11" s="8" t="n">
        <v>31231359</v>
      </c>
      <c r="N11" s="10" t="inlineStr">
        <is>
          <t>🔵 Steady</t>
        </is>
      </c>
    </row>
    <row r="12">
      <c r="A12" s="5" t="inlineStr">
        <is>
          <t>Plaza Kamera</t>
        </is>
      </c>
      <c r="B12" s="13" t="inlineStr">
        <is>
          <t>Surabaya</t>
        </is>
      </c>
      <c r="C12" s="6" t="n"/>
      <c r="D12" s="6" t="n"/>
      <c r="E12" s="6" t="n">
        <v>61366000</v>
      </c>
      <c r="F12" s="6" t="n"/>
      <c r="G12" s="6" t="n"/>
      <c r="H12" s="6" t="n">
        <v>70301000</v>
      </c>
      <c r="I12" s="6" t="n">
        <v>92350600</v>
      </c>
      <c r="J12" s="7" t="n">
        <v>78498010</v>
      </c>
      <c r="K12" s="7" t="n">
        <v>87733070</v>
      </c>
      <c r="L12" s="7" t="n">
        <v>96968130</v>
      </c>
      <c r="M12" s="8" t="n">
        <v>263199210</v>
      </c>
      <c r="N12" s="10" t="inlineStr">
        <is>
          <t>🟢 Growing</t>
        </is>
      </c>
    </row>
    <row r="13">
      <c r="A13" s="5" t="inlineStr">
        <is>
          <t>Aneka Teknologi</t>
        </is>
      </c>
      <c r="B13" s="13" t="inlineStr">
        <is>
          <t>Semarang</t>
        </is>
      </c>
      <c r="C13" s="6" t="n"/>
      <c r="D13" s="6" t="n">
        <v>93194000</v>
      </c>
      <c r="E13" s="6" t="n">
        <v>21125000</v>
      </c>
      <c r="F13" s="6" t="n">
        <v>64575000</v>
      </c>
      <c r="G13" s="6" t="n"/>
      <c r="H13" s="6" t="n">
        <v>4975000</v>
      </c>
      <c r="I13" s="6" t="n"/>
      <c r="J13" s="7" t="n">
        <v>0</v>
      </c>
      <c r="K13" s="7" t="n">
        <v>0</v>
      </c>
      <c r="L13" s="7" t="n">
        <v>0</v>
      </c>
      <c r="M13" s="8" t="n">
        <v>0</v>
      </c>
      <c r="N13" s="10" t="inlineStr">
        <is>
          <t>🟠 Slowing</t>
        </is>
      </c>
    </row>
    <row r="14">
      <c r="A14" s="5" t="inlineStr">
        <is>
          <t>Buana Photo</t>
        </is>
      </c>
      <c r="B14" s="13" t="inlineStr">
        <is>
          <t>Medan</t>
        </is>
      </c>
      <c r="C14" s="6" t="n"/>
      <c r="D14" s="6" t="n"/>
      <c r="E14" s="6" t="n"/>
      <c r="F14" s="6" t="n">
        <v>116268000</v>
      </c>
      <c r="G14" s="6" t="n"/>
      <c r="H14" s="6" t="n">
        <v>52295600</v>
      </c>
      <c r="I14" s="6" t="n"/>
      <c r="J14" s="7" t="n">
        <v>0</v>
      </c>
      <c r="K14" s="7" t="n">
        <v>0</v>
      </c>
      <c r="L14" s="7" t="n">
        <v>0</v>
      </c>
      <c r="M14" s="8" t="n">
        <v>0</v>
      </c>
      <c r="N14" s="10" t="inlineStr">
        <is>
          <t>🟠 Slowing</t>
        </is>
      </c>
    </row>
    <row r="15">
      <c r="A15" s="5" t="inlineStr">
        <is>
          <t>DOSS</t>
        </is>
      </c>
      <c r="B15" s="13" t="inlineStr">
        <is>
          <t>Jabodetabek</t>
        </is>
      </c>
      <c r="C15" s="6" t="n">
        <v>3250000</v>
      </c>
      <c r="D15" s="6" t="n">
        <v>46783000</v>
      </c>
      <c r="E15" s="6" t="n">
        <v>16915000</v>
      </c>
      <c r="F15" s="6" t="n">
        <v>5100000</v>
      </c>
      <c r="G15" s="6" t="n">
        <v>1759000</v>
      </c>
      <c r="H15" s="6" t="n">
        <v>46174400</v>
      </c>
      <c r="I15" s="6" t="n">
        <v>42726120</v>
      </c>
      <c r="J15" s="7" t="n">
        <v>25686864</v>
      </c>
      <c r="K15" s="7" t="n">
        <v>30219840</v>
      </c>
      <c r="L15" s="7" t="n">
        <v>32637427</v>
      </c>
      <c r="M15" s="8" t="n">
        <v>88544131</v>
      </c>
      <c r="N15" s="10" t="inlineStr">
        <is>
          <t>🔵 Steady</t>
        </is>
      </c>
    </row>
    <row r="16">
      <c r="A16" s="5" t="inlineStr">
        <is>
          <t>MitraKamera</t>
        </is>
      </c>
      <c r="B16" s="13" t="inlineStr">
        <is>
          <t>Jabodetabek</t>
        </is>
      </c>
      <c r="C16" s="6" t="n">
        <v>1400000</v>
      </c>
      <c r="D16" s="6" t="n">
        <v>57592500</v>
      </c>
      <c r="E16" s="6" t="n">
        <v>48836000</v>
      </c>
      <c r="F16" s="6" t="n"/>
      <c r="G16" s="6" t="n">
        <v>4875000</v>
      </c>
      <c r="H16" s="6" t="n">
        <v>23214000</v>
      </c>
      <c r="I16" s="6" t="n">
        <v>7568000</v>
      </c>
      <c r="J16" s="7" t="n">
        <v>5297600</v>
      </c>
      <c r="K16" s="7" t="n">
        <v>6054400</v>
      </c>
      <c r="L16" s="7" t="n">
        <v>6811200</v>
      </c>
      <c r="M16" s="8" t="n">
        <v>18163200</v>
      </c>
      <c r="N16" s="10" t="inlineStr">
        <is>
          <t>🟠 Slowing</t>
        </is>
      </c>
    </row>
    <row r="17">
      <c r="A17" s="5" t="inlineStr">
        <is>
          <t>Wijaya International</t>
        </is>
      </c>
      <c r="B17" s="13" t="inlineStr">
        <is>
          <t>Jabodetabek</t>
        </is>
      </c>
      <c r="C17" s="6" t="n"/>
      <c r="D17" s="6" t="n">
        <v>65400000</v>
      </c>
      <c r="E17" s="6" t="n"/>
      <c r="F17" s="6" t="n">
        <v>10440000</v>
      </c>
      <c r="G17" s="6" t="n"/>
      <c r="H17" s="6" t="n">
        <v>40948000</v>
      </c>
      <c r="I17" s="6" t="n"/>
      <c r="J17" s="7" t="n">
        <v>0</v>
      </c>
      <c r="K17" s="7" t="n">
        <v>0</v>
      </c>
      <c r="L17" s="7" t="n">
        <v>0</v>
      </c>
      <c r="M17" s="8" t="n">
        <v>0</v>
      </c>
      <c r="N17" s="10" t="inlineStr">
        <is>
          <t>🟠 Slowing</t>
        </is>
      </c>
    </row>
    <row r="18">
      <c r="A18" s="5" t="inlineStr">
        <is>
          <t>Dominic Elektronik</t>
        </is>
      </c>
      <c r="B18" s="13" t="inlineStr">
        <is>
          <t>Jabodetabek</t>
        </is>
      </c>
      <c r="C18" s="6" t="n">
        <v>18070000</v>
      </c>
      <c r="D18" s="6" t="n">
        <v>27715000</v>
      </c>
      <c r="E18" s="6" t="n">
        <v>21214000</v>
      </c>
      <c r="F18" s="6" t="n"/>
      <c r="G18" s="6" t="n"/>
      <c r="H18" s="6" t="n"/>
      <c r="I18" s="6" t="n">
        <v>10554000</v>
      </c>
      <c r="J18" s="7" t="n">
        <v>2990300</v>
      </c>
      <c r="K18" s="7" t="n">
        <v>3518000</v>
      </c>
      <c r="L18" s="7" t="n">
        <v>3799440</v>
      </c>
      <c r="M18" s="8" t="n">
        <v>10307740</v>
      </c>
      <c r="N18" s="10" t="inlineStr">
        <is>
          <t>🔵 Steady</t>
        </is>
      </c>
    </row>
    <row r="19">
      <c r="A19" s="5" t="inlineStr">
        <is>
          <t>Aneka Foto</t>
        </is>
      </c>
      <c r="B19" s="13" t="inlineStr">
        <is>
          <t>Jabodetabek</t>
        </is>
      </c>
      <c r="C19" s="6" t="n"/>
      <c r="D19" s="6" t="n">
        <v>5239000</v>
      </c>
      <c r="E19" s="6" t="n">
        <v>25134000</v>
      </c>
      <c r="F19" s="6" t="n">
        <v>9459000</v>
      </c>
      <c r="G19" s="6" t="n">
        <v>1759000</v>
      </c>
      <c r="H19" s="6" t="n">
        <v>33280000</v>
      </c>
      <c r="I19" s="6" t="n"/>
      <c r="J19" s="7" t="n">
        <v>0</v>
      </c>
      <c r="K19" s="7" t="n">
        <v>0</v>
      </c>
      <c r="L19" s="7" t="n">
        <v>0</v>
      </c>
      <c r="M19" s="8" t="n">
        <v>0</v>
      </c>
      <c r="N19" s="10" t="inlineStr">
        <is>
          <t>🟠 Slowing</t>
        </is>
      </c>
    </row>
    <row r="20">
      <c r="A20" s="5" t="inlineStr">
        <is>
          <t>Sinar Bahagia</t>
        </is>
      </c>
      <c r="B20" s="13" t="inlineStr">
        <is>
          <t>Surabaya</t>
        </is>
      </c>
      <c r="C20" s="6" t="n">
        <v>6500000</v>
      </c>
      <c r="D20" s="6" t="n">
        <v>23271500</v>
      </c>
      <c r="E20" s="6" t="n"/>
      <c r="F20" s="6" t="n">
        <v>18447000</v>
      </c>
      <c r="G20" s="6" t="n">
        <v>6960000</v>
      </c>
      <c r="H20" s="6" t="n">
        <v>8795000</v>
      </c>
      <c r="I20" s="6" t="n">
        <v>5288240</v>
      </c>
      <c r="J20" s="7" t="n">
        <v>5962251</v>
      </c>
      <c r="K20" s="7" t="n">
        <v>7014413</v>
      </c>
      <c r="L20" s="7" t="n">
        <v>7575566</v>
      </c>
      <c r="M20" s="8" t="n">
        <v>20552230</v>
      </c>
      <c r="N20" s="10" t="inlineStr">
        <is>
          <t>🔵 Steady</t>
        </is>
      </c>
    </row>
    <row r="21">
      <c r="A21" s="5" t="inlineStr">
        <is>
          <t>Primanada</t>
        </is>
      </c>
      <c r="B21" s="13" t="inlineStr">
        <is>
          <t>Jabodetabek</t>
        </is>
      </c>
      <c r="C21" s="6" t="n"/>
      <c r="D21" s="6" t="n"/>
      <c r="E21" s="6" t="n"/>
      <c r="F21" s="6" t="n"/>
      <c r="G21" s="6" t="n"/>
      <c r="H21" s="6" t="n">
        <v>62801200</v>
      </c>
      <c r="I21" s="6" t="n"/>
      <c r="J21" s="7" t="n">
        <v>0</v>
      </c>
      <c r="K21" s="7" t="n">
        <v>0</v>
      </c>
      <c r="L21" s="7" t="n">
        <v>0</v>
      </c>
      <c r="M21" s="8" t="n">
        <v>0</v>
      </c>
      <c r="N21" s="10" t="inlineStr">
        <is>
          <t>🟠 Slowing</t>
        </is>
      </c>
    </row>
    <row r="22">
      <c r="A22" s="5" t="inlineStr">
        <is>
          <t>Sumber Bahagia</t>
        </is>
      </c>
      <c r="B22" s="13" t="inlineStr">
        <is>
          <t>Surabaya</t>
        </is>
      </c>
      <c r="C22" s="6" t="n"/>
      <c r="D22" s="6" t="n">
        <v>10697000</v>
      </c>
      <c r="E22" s="6" t="n">
        <v>29152000</v>
      </c>
      <c r="F22" s="6" t="n"/>
      <c r="G22" s="6" t="n">
        <v>13170000</v>
      </c>
      <c r="H22" s="6" t="n"/>
      <c r="I22" s="6" t="n"/>
      <c r="J22" s="7" t="n">
        <v>0</v>
      </c>
      <c r="K22" s="7" t="n">
        <v>0</v>
      </c>
      <c r="L22" s="7" t="n">
        <v>0</v>
      </c>
      <c r="M22" s="8" t="n">
        <v>0</v>
      </c>
      <c r="N22" s="10" t="inlineStr">
        <is>
          <t>🔴 Dormant</t>
        </is>
      </c>
    </row>
    <row r="23">
      <c r="A23" s="5" t="inlineStr">
        <is>
          <t>Sentra Digital</t>
        </is>
      </c>
      <c r="B23" s="13" t="inlineStr">
        <is>
          <t>Surabaya</t>
        </is>
      </c>
      <c r="C23" s="6" t="n"/>
      <c r="D23" s="6" t="n">
        <v>9750000</v>
      </c>
      <c r="E23" s="6" t="n"/>
      <c r="F23" s="6" t="n">
        <v>29435000</v>
      </c>
      <c r="G23" s="6" t="n"/>
      <c r="H23" s="6" t="n"/>
      <c r="I23" s="6" t="n">
        <v>13394840</v>
      </c>
      <c r="J23" s="7" t="n">
        <v>3795205</v>
      </c>
      <c r="K23" s="7" t="n">
        <v>4464947</v>
      </c>
      <c r="L23" s="7" t="n">
        <v>4822142</v>
      </c>
      <c r="M23" s="8" t="n">
        <v>13082294</v>
      </c>
      <c r="N23" s="10" t="inlineStr">
        <is>
          <t>🔵 Steady</t>
        </is>
      </c>
    </row>
    <row r="24">
      <c r="A24" s="5" t="inlineStr">
        <is>
          <t>Wonderland Store</t>
        </is>
      </c>
      <c r="B24" s="13" t="inlineStr">
        <is>
          <t>Surabaya</t>
        </is>
      </c>
      <c r="C24" s="6" t="n"/>
      <c r="D24" s="6" t="n"/>
      <c r="E24" s="6" t="n"/>
      <c r="F24" s="6" t="n"/>
      <c r="G24" s="6" t="n"/>
      <c r="H24" s="6" t="n"/>
      <c r="I24" s="6" t="n">
        <v>50544000</v>
      </c>
      <c r="J24" s="7" t="n">
        <v>14320800</v>
      </c>
      <c r="K24" s="7" t="n">
        <v>16848000</v>
      </c>
      <c r="L24" s="7" t="n">
        <v>18195840</v>
      </c>
      <c r="M24" s="8" t="n">
        <v>49364640</v>
      </c>
      <c r="N24" s="10" t="inlineStr">
        <is>
          <t>🔵 Steady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Saramonic — Channel Mix (by Dealer Type)</t>
        </is>
      </c>
    </row>
    <row r="3">
      <c r="A3" s="4" t="inlineStr">
        <is>
          <t>Category</t>
        </is>
      </c>
      <c r="B3" s="4" t="inlineStr">
        <is>
          <t>Oct-25</t>
        </is>
      </c>
      <c r="C3" s="4" t="inlineStr">
        <is>
          <t>Nov-25</t>
        </is>
      </c>
      <c r="D3" s="4" t="inlineStr">
        <is>
          <t>Dec-25</t>
        </is>
      </c>
      <c r="E3" s="4" t="inlineStr">
        <is>
          <t>Jan-26</t>
        </is>
      </c>
      <c r="F3" s="4" t="inlineStr">
        <is>
          <t>Feb-26</t>
        </is>
      </c>
      <c r="G3" s="4" t="inlineStr">
        <is>
          <t>Mar-26</t>
        </is>
      </c>
      <c r="H3" s="4" t="inlineStr">
        <is>
          <t>Apr-26</t>
        </is>
      </c>
      <c r="I3" s="4" t="inlineStr">
        <is>
          <t>7M Total</t>
        </is>
      </c>
      <c r="J3" s="4" t="inlineStr">
        <is>
          <t>7M Avg/Mo</t>
        </is>
      </c>
      <c r="K3" s="4" t="inlineStr">
        <is>
          <t>% of Total</t>
        </is>
      </c>
    </row>
    <row r="4">
      <c r="A4" s="5" t="inlineStr">
        <is>
          <t>Camera Stores</t>
        </is>
      </c>
      <c r="B4" s="6" t="n">
        <v>251240500</v>
      </c>
      <c r="C4" s="6" t="n">
        <v>808399500</v>
      </c>
      <c r="D4" s="6" t="n">
        <v>979667025</v>
      </c>
      <c r="E4" s="6" t="n">
        <v>559364500</v>
      </c>
      <c r="F4" s="6" t="n">
        <v>168147000</v>
      </c>
      <c r="G4" s="6" t="n">
        <v>784933660</v>
      </c>
      <c r="H4" s="6" t="n">
        <v>825915960</v>
      </c>
      <c r="I4" s="8" t="n">
        <v>4377668145</v>
      </c>
      <c r="J4" s="6" t="n">
        <v>625381164</v>
      </c>
      <c r="K4" s="10" t="inlineStr">
        <is>
          <t>71.3%</t>
        </is>
      </c>
    </row>
    <row r="5">
      <c r="A5" s="5" t="inlineStr">
        <is>
          <t>System Integrators</t>
        </is>
      </c>
      <c r="B5" s="6" t="n">
        <v>14072000</v>
      </c>
      <c r="C5" s="6" t="n">
        <v>248870000</v>
      </c>
      <c r="D5" s="6" t="n">
        <v>51740000</v>
      </c>
      <c r="E5" s="6" t="n">
        <v>122854000</v>
      </c>
      <c r="F5" s="6" t="n">
        <v>70432000</v>
      </c>
      <c r="G5" s="6" t="n">
        <v>147476650</v>
      </c>
      <c r="H5" s="6" t="n">
        <v>63962000</v>
      </c>
      <c r="I5" s="8" t="n">
        <v>719406650</v>
      </c>
      <c r="J5" s="6" t="n">
        <v>102772379</v>
      </c>
      <c r="K5" s="10" t="inlineStr">
        <is>
          <t>11.7%</t>
        </is>
      </c>
    </row>
    <row r="6">
      <c r="A6" s="5" t="inlineStr">
        <is>
          <t>CEs</t>
        </is>
      </c>
      <c r="B6" s="6" t="n">
        <v>12260000</v>
      </c>
      <c r="C6" s="6" t="n">
        <v>10140000</v>
      </c>
      <c r="D6" s="6" t="n">
        <v>77165000</v>
      </c>
      <c r="E6" s="6" t="n">
        <v>52562000</v>
      </c>
      <c r="F6" s="6" t="n">
        <v>24375000</v>
      </c>
      <c r="G6" s="6" t="n">
        <v>33969200</v>
      </c>
      <c r="H6" s="6" t="n">
        <v>234373920</v>
      </c>
      <c r="I6" s="8" t="n">
        <v>444845120</v>
      </c>
      <c r="J6" s="6" t="n">
        <v>63549303</v>
      </c>
      <c r="K6" s="10" t="inlineStr">
        <is>
          <t>7.2%</t>
        </is>
      </c>
    </row>
    <row r="7">
      <c r="A7" s="5" t="inlineStr">
        <is>
          <t>Audio Stores</t>
        </is>
      </c>
      <c r="B7" s="6" t="n"/>
      <c r="C7" s="6" t="n">
        <v>16918000</v>
      </c>
      <c r="D7" s="6" t="n"/>
      <c r="E7" s="6" t="n">
        <v>116425000</v>
      </c>
      <c r="F7" s="6" t="n">
        <v>76980000</v>
      </c>
      <c r="G7" s="6" t="n">
        <v>82596200</v>
      </c>
      <c r="H7" s="6" t="n">
        <v>5959040</v>
      </c>
      <c r="I7" s="8" t="n">
        <v>298878240</v>
      </c>
      <c r="J7" s="6" t="n">
        <v>42696891</v>
      </c>
      <c r="K7" s="10" t="inlineStr">
        <is>
          <t>4.9%</t>
        </is>
      </c>
    </row>
    <row r="8">
      <c r="A8" s="5" t="inlineStr">
        <is>
          <t>Computer Stores</t>
        </is>
      </c>
      <c r="B8" s="6" t="n"/>
      <c r="C8" s="6" t="n">
        <v>17631000</v>
      </c>
      <c r="D8" s="6" t="n"/>
      <c r="E8" s="6" t="n">
        <v>107400000</v>
      </c>
      <c r="F8" s="6" t="n"/>
      <c r="G8" s="6" t="n">
        <v>2200000</v>
      </c>
      <c r="H8" s="6" t="n">
        <v>36818160</v>
      </c>
      <c r="I8" s="8" t="n">
        <v>164049160</v>
      </c>
      <c r="J8" s="6" t="n">
        <v>23435594</v>
      </c>
      <c r="K8" s="10" t="inlineStr">
        <is>
          <t>2.7%</t>
        </is>
      </c>
    </row>
    <row r="9">
      <c r="A9" s="5" t="inlineStr">
        <is>
          <t>Phone &amp; Accessories</t>
        </is>
      </c>
      <c r="B9" s="6" t="n"/>
      <c r="C9" s="6" t="n"/>
      <c r="D9" s="6" t="n"/>
      <c r="E9" s="6" t="n">
        <v>64284000</v>
      </c>
      <c r="F9" s="6" t="n"/>
      <c r="G9" s="6" t="n"/>
      <c r="H9" s="6" t="n"/>
      <c r="I9" s="8" t="n">
        <v>64284000</v>
      </c>
      <c r="J9" s="6" t="n">
        <v>9183429</v>
      </c>
      <c r="K9" s="10" t="inlineStr">
        <is>
          <t>1.0%</t>
        </is>
      </c>
    </row>
    <row r="10">
      <c r="A10" s="5" t="inlineStr">
        <is>
          <t>Intercom Rentals</t>
        </is>
      </c>
      <c r="B10" s="6" t="n"/>
      <c r="C10" s="6" t="n"/>
      <c r="D10" s="6" t="n"/>
      <c r="E10" s="6" t="n">
        <v>40598000</v>
      </c>
      <c r="F10" s="6" t="n"/>
      <c r="G10" s="6" t="n"/>
      <c r="H10" s="6" t="n"/>
      <c r="I10" s="8" t="n">
        <v>40598000</v>
      </c>
      <c r="J10" s="6" t="n">
        <v>5799714</v>
      </c>
      <c r="K10" s="10" t="inlineStr">
        <is>
          <t>0.7%</t>
        </is>
      </c>
    </row>
    <row r="11">
      <c r="A11" s="5" t="inlineStr">
        <is>
          <t>Churches</t>
        </is>
      </c>
      <c r="B11" s="6" t="n"/>
      <c r="C11" s="6" t="n"/>
      <c r="D11" s="6" t="n"/>
      <c r="E11" s="6" t="n">
        <v>24600000</v>
      </c>
      <c r="F11" s="6" t="n"/>
      <c r="G11" s="6" t="n"/>
      <c r="H11" s="6" t="n"/>
      <c r="I11" s="8" t="n">
        <v>24600000</v>
      </c>
      <c r="J11" s="6" t="n">
        <v>3514286</v>
      </c>
      <c r="K11" s="10" t="inlineStr">
        <is>
          <t>0.4%</t>
        </is>
      </c>
    </row>
    <row r="12">
      <c r="A12" s="5" t="inlineStr">
        <is>
          <t>Hotels</t>
        </is>
      </c>
      <c r="B12" s="6" t="n"/>
      <c r="C12" s="6" t="n"/>
      <c r="D12" s="6" t="n"/>
      <c r="E12" s="6" t="n"/>
      <c r="F12" s="6" t="n"/>
      <c r="G12" s="6" t="n">
        <v>3999000</v>
      </c>
      <c r="H12" s="6" t="n"/>
      <c r="I12" s="8" t="n">
        <v>3999000</v>
      </c>
      <c r="J12" s="6" t="n">
        <v>571286</v>
      </c>
      <c r="K12" s="10" t="inlineStr">
        <is>
          <t>0.1%</t>
        </is>
      </c>
    </row>
    <row r="13">
      <c r="A13" s="5" t="inlineStr">
        <is>
          <t>Multimedia Rentals</t>
        </is>
      </c>
      <c r="B13" s="6" t="n"/>
      <c r="C13" s="6" t="n"/>
      <c r="D13" s="6" t="n"/>
      <c r="E13" s="6" t="n"/>
      <c r="F13" s="6" t="n"/>
      <c r="G13" s="6" t="n"/>
      <c r="H13" s="6" t="n">
        <v>660000</v>
      </c>
      <c r="I13" s="8" t="n">
        <v>660000</v>
      </c>
      <c r="J13" s="6" t="n">
        <v>94286</v>
      </c>
      <c r="K13" s="10" t="inlineStr">
        <is>
          <t>0.0%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2026-05-12T15:01:07Z</dcterms:created>
  <dcterms:modified xmlns:dcterms="http://purl.org/dc/terms/" xmlns:xsi="http://www.w3.org/2001/XMLSchema-instance" xsi:type="dcterms:W3CDTF">2026-05-12T15:01:07Z</dcterms:modified>
</cp:coreProperties>
</file>